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ulian.galindo\OneDrive - Escuela Politécnica Nacional\Documentos\EPN\capacitación\machine learning con R\datos\dia 2\"/>
    </mc:Choice>
  </mc:AlternateContent>
  <bookViews>
    <workbookView xWindow="0" yWindow="0" windowWidth="20490" windowHeight="7650"/>
  </bookViews>
  <sheets>
    <sheet name="matriz_conf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6" i="1" l="1"/>
  <c r="I12" i="1"/>
  <c r="I15" i="1"/>
  <c r="J16" i="1" s="1"/>
  <c r="I14" i="1"/>
  <c r="I13" i="1"/>
</calcChain>
</file>

<file path=xl/sharedStrings.xml><?xml version="1.0" encoding="utf-8"?>
<sst xmlns="http://schemas.openxmlformats.org/spreadsheetml/2006/main" count="45" uniqueCount="32">
  <si>
    <t>predicción</t>
  </si>
  <si>
    <t>Positivo</t>
  </si>
  <si>
    <t>Negativo</t>
  </si>
  <si>
    <t>Real</t>
  </si>
  <si>
    <t xml:space="preserve">Positivo </t>
  </si>
  <si>
    <t>Precisión (Ratio)</t>
  </si>
  <si>
    <t>Predic. correcta (Accuracy) (Ratio)</t>
  </si>
  <si>
    <t>Sensibilidad (Ratio de verdaderos positivos)</t>
  </si>
  <si>
    <t>Especificidad (Ratio de verdaderos negativos)</t>
  </si>
  <si>
    <r>
      <t xml:space="preserve">Falso </t>
    </r>
    <r>
      <rPr>
        <b/>
        <sz val="11"/>
        <color theme="0"/>
        <rFont val="Calibri"/>
        <family val="2"/>
        <scheme val="minor"/>
      </rPr>
      <t>Positivo</t>
    </r>
  </si>
  <si>
    <r>
      <t xml:space="preserve">Verdadero </t>
    </r>
    <r>
      <rPr>
        <b/>
        <sz val="11"/>
        <color theme="0"/>
        <rFont val="Calibri"/>
        <family val="2"/>
        <scheme val="minor"/>
      </rPr>
      <t>Negativo</t>
    </r>
  </si>
  <si>
    <r>
      <t xml:space="preserve">Falso </t>
    </r>
    <r>
      <rPr>
        <b/>
        <sz val="11"/>
        <color theme="0"/>
        <rFont val="Calibri"/>
        <family val="2"/>
        <scheme val="minor"/>
      </rPr>
      <t>Negativo</t>
    </r>
  </si>
  <si>
    <r>
      <t xml:space="preserve">Verdadero </t>
    </r>
    <r>
      <rPr>
        <b/>
        <sz val="11"/>
        <color theme="0"/>
        <rFont val="Calibri"/>
        <family val="2"/>
        <scheme val="minor"/>
      </rPr>
      <t>Positivo</t>
    </r>
  </si>
  <si>
    <t>Ratio de Falso Positivo (Ratio)</t>
  </si>
  <si>
    <t>Matriz de confusión</t>
  </si>
  <si>
    <t>(error tipo 1)</t>
  </si>
  <si>
    <t>(error tipo 2)</t>
  </si>
  <si>
    <t>Ejemplo:</t>
  </si>
  <si>
    <t>Concepto:</t>
  </si>
  <si>
    <t>Métricas de rendimiento</t>
  </si>
  <si>
    <t>Valor</t>
  </si>
  <si>
    <t>(Verdadero Positivo+Verdadero Negativo)/(Total casos)</t>
  </si>
  <si>
    <t>Detalle</t>
  </si>
  <si>
    <t>(Verdadero Positivo)/(Verdadero Positivo+ Falso Positivo)</t>
  </si>
  <si>
    <t>(Verdadero Positivo)/(Verdadero Positivo+ Falso Negativo)</t>
  </si>
  <si>
    <t>(Verdadero Negativo)/(Verdadero Negativo+ Falso Positivo)</t>
  </si>
  <si>
    <t>(Falso Positivo)/(Falso Positivo+Verdadero Negativo )</t>
  </si>
  <si>
    <t>los verdaderos casos</t>
  </si>
  <si>
    <t>Luego hay q equilibrar los casos</t>
  </si>
  <si>
    <t>casos</t>
  </si>
  <si>
    <t>children</t>
  </si>
  <si>
    <t>no children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</si>
</sst>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7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9" borderId="0" xfId="0" applyFont="1" applyFill="1" applyAlignment="1">
      <alignment vertical="center"/>
    </xf>
    <xf numFmtId="0" fontId="5" fillId="9" borderId="0" xfId="0" applyFont="1" applyFill="1" applyAlignment="1">
      <alignment vertical="center"/>
    </xf>
    <xf numFmtId="0" fontId="6" fillId="9" borderId="0" xfId="0" applyFont="1" applyFill="1" applyAlignment="1">
      <alignment horizontal="left" vertical="center"/>
    </xf>
    <xf numFmtId="0" fontId="6" fillId="9" borderId="0" xfId="0" applyFont="1" applyFill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3" fillId="9" borderId="0" xfId="0" applyFont="1" applyFill="1"/>
    <xf numFmtId="164" fontId="2" fillId="9" borderId="0" xfId="0" applyNumberFormat="1" applyFont="1" applyFill="1" applyAlignment="1">
      <alignment horizontal="center"/>
    </xf>
    <xf numFmtId="0" fontId="0" fillId="9" borderId="2" xfId="0" applyFill="1" applyBorder="1" applyAlignment="1">
      <alignment vertical="center"/>
    </xf>
    <xf numFmtId="0" fontId="0" fillId="9" borderId="3" xfId="0" applyFill="1" applyBorder="1" applyAlignment="1">
      <alignment vertical="center"/>
    </xf>
    <xf numFmtId="0" fontId="0" fillId="9" borderId="4" xfId="0" applyFill="1" applyBorder="1" applyAlignment="1">
      <alignment vertical="center"/>
    </xf>
    <xf numFmtId="0" fontId="0" fillId="9" borderId="3" xfId="0" applyFill="1" applyBorder="1"/>
    <xf numFmtId="0" fontId="0" fillId="9" borderId="4" xfId="0" applyFill="1" applyBorder="1"/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10" borderId="1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abSelected="1" topLeftCell="A9" workbookViewId="0">
      <selection activeCell="I23" sqref="I23"/>
    </sheetView>
  </sheetViews>
  <sheetFormatPr baseColWidth="10" defaultRowHeight="15" x14ac:dyDescent="0.25"/>
  <cols>
    <col min="1" max="1" width="3.7109375" customWidth="1"/>
    <col min="2" max="2" width="18.28515625" customWidth="1"/>
    <col min="3" max="5" width="19.85546875" customWidth="1"/>
    <col min="7" max="7" width="3.140625" customWidth="1"/>
    <col min="8" max="8" width="42" bestFit="1" customWidth="1"/>
  </cols>
  <sheetData>
    <row r="1" spans="1:13" ht="24" customHeight="1" x14ac:dyDescent="0.25">
      <c r="A1" s="15"/>
      <c r="B1" s="15"/>
      <c r="C1" s="15"/>
      <c r="D1" s="15"/>
      <c r="E1" s="15"/>
      <c r="F1" s="15"/>
      <c r="G1" s="15"/>
      <c r="H1" s="15"/>
      <c r="I1" s="5"/>
      <c r="J1" s="5"/>
      <c r="K1" s="5"/>
      <c r="L1" s="5"/>
      <c r="M1" s="5"/>
    </row>
    <row r="2" spans="1:13" ht="25.5" customHeight="1" x14ac:dyDescent="0.25">
      <c r="A2" s="5"/>
      <c r="B2" s="8" t="s">
        <v>14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25.5" customHeight="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ht="25.5" customHeight="1" x14ac:dyDescent="0.25">
      <c r="A4" s="5"/>
      <c r="B4" s="7" t="s">
        <v>18</v>
      </c>
      <c r="C4" s="5"/>
      <c r="D4" s="26" t="s">
        <v>3</v>
      </c>
      <c r="E4" s="26"/>
      <c r="F4" s="5"/>
      <c r="G4" s="5"/>
      <c r="H4" s="14" t="s">
        <v>19</v>
      </c>
      <c r="I4" s="22" t="s">
        <v>22</v>
      </c>
      <c r="J4" s="23"/>
      <c r="K4" s="23"/>
      <c r="L4" s="23"/>
      <c r="M4" s="24"/>
    </row>
    <row r="5" spans="1:13" ht="25.5" customHeight="1" x14ac:dyDescent="0.25">
      <c r="A5" s="5"/>
      <c r="B5" s="5"/>
      <c r="C5" s="5"/>
      <c r="D5" s="26"/>
      <c r="E5" s="26"/>
      <c r="F5" s="5"/>
      <c r="G5" s="5"/>
      <c r="H5" s="11" t="s">
        <v>6</v>
      </c>
      <c r="I5" s="17" t="s">
        <v>21</v>
      </c>
      <c r="J5" s="18"/>
      <c r="K5" s="18"/>
      <c r="L5" s="18"/>
      <c r="M5" s="19"/>
    </row>
    <row r="6" spans="1:13" ht="25.5" customHeight="1" x14ac:dyDescent="0.25">
      <c r="A6" s="5"/>
      <c r="B6" s="5"/>
      <c r="C6" s="5"/>
      <c r="D6" s="2" t="s">
        <v>1</v>
      </c>
      <c r="E6" s="2" t="s">
        <v>2</v>
      </c>
      <c r="F6" s="5"/>
      <c r="G6" s="5"/>
      <c r="H6" s="11" t="s">
        <v>5</v>
      </c>
      <c r="I6" s="17" t="s">
        <v>23</v>
      </c>
      <c r="J6" s="20"/>
      <c r="K6" s="20"/>
      <c r="L6" s="20"/>
      <c r="M6" s="21"/>
    </row>
    <row r="7" spans="1:13" ht="25.5" customHeight="1" x14ac:dyDescent="0.25">
      <c r="A7" s="5"/>
      <c r="B7" s="25" t="s">
        <v>0</v>
      </c>
      <c r="C7" s="1" t="s">
        <v>4</v>
      </c>
      <c r="D7" s="3" t="s">
        <v>12</v>
      </c>
      <c r="E7" s="4" t="s">
        <v>9</v>
      </c>
      <c r="F7" s="9" t="s">
        <v>15</v>
      </c>
      <c r="G7" s="9"/>
      <c r="H7" s="11" t="s">
        <v>7</v>
      </c>
      <c r="I7" s="17" t="s">
        <v>24</v>
      </c>
      <c r="J7" s="20"/>
      <c r="K7" s="20"/>
      <c r="L7" s="20"/>
      <c r="M7" s="21"/>
    </row>
    <row r="8" spans="1:13" ht="25.5" customHeight="1" x14ac:dyDescent="0.25">
      <c r="A8" s="5"/>
      <c r="B8" s="25"/>
      <c r="C8" s="1" t="s">
        <v>2</v>
      </c>
      <c r="D8" s="4" t="s">
        <v>11</v>
      </c>
      <c r="E8" s="3" t="s">
        <v>10</v>
      </c>
      <c r="F8" s="5"/>
      <c r="G8" s="5"/>
      <c r="H8" s="11" t="s">
        <v>8</v>
      </c>
      <c r="I8" s="17" t="s">
        <v>25</v>
      </c>
      <c r="J8" s="20"/>
      <c r="K8" s="20"/>
      <c r="L8" s="20"/>
      <c r="M8" s="21"/>
    </row>
    <row r="9" spans="1:13" ht="25.5" customHeight="1" x14ac:dyDescent="0.25">
      <c r="A9" s="5"/>
      <c r="B9" s="5"/>
      <c r="C9" s="5"/>
      <c r="D9" s="10" t="s">
        <v>16</v>
      </c>
      <c r="E9" s="6"/>
      <c r="F9" s="5"/>
      <c r="G9" s="5"/>
      <c r="H9" s="11" t="s">
        <v>13</v>
      </c>
      <c r="I9" s="17" t="s">
        <v>26</v>
      </c>
      <c r="J9" s="20"/>
      <c r="K9" s="20"/>
      <c r="L9" s="20"/>
      <c r="M9" s="21"/>
    </row>
    <row r="10" spans="1:13" ht="25.5" customHeight="1" x14ac:dyDescent="0.25">
      <c r="A10" s="5"/>
      <c r="B10" s="5"/>
      <c r="C10" s="5"/>
      <c r="D10" s="10"/>
      <c r="E10" s="6"/>
      <c r="F10" s="5"/>
      <c r="G10" s="5"/>
      <c r="H10" s="5"/>
      <c r="I10" s="5"/>
      <c r="J10" s="5"/>
      <c r="K10" s="5"/>
      <c r="L10" s="5"/>
      <c r="M10" s="5"/>
    </row>
    <row r="11" spans="1:13" ht="25.5" customHeight="1" x14ac:dyDescent="0.25">
      <c r="A11" s="5"/>
      <c r="B11" s="7" t="s">
        <v>17</v>
      </c>
      <c r="C11" s="5"/>
      <c r="D11" s="26" t="s">
        <v>3</v>
      </c>
      <c r="E11" s="26"/>
      <c r="F11" s="5"/>
      <c r="G11" s="5"/>
      <c r="H11" s="14" t="s">
        <v>19</v>
      </c>
      <c r="I11" s="13" t="s">
        <v>20</v>
      </c>
      <c r="J11" s="5"/>
      <c r="K11" s="5"/>
      <c r="L11" s="5"/>
      <c r="M11" s="5"/>
    </row>
    <row r="12" spans="1:13" ht="25.5" customHeight="1" x14ac:dyDescent="0.25">
      <c r="A12" s="5"/>
      <c r="B12" s="5"/>
      <c r="C12" s="5"/>
      <c r="D12" s="26"/>
      <c r="E12" s="26"/>
      <c r="F12" s="5"/>
      <c r="G12" s="5"/>
      <c r="H12" s="11" t="s">
        <v>6</v>
      </c>
      <c r="I12" s="27">
        <f>+SUM(D14,E15)/SUM(D14:E15)</f>
        <v>0.7371842694234253</v>
      </c>
      <c r="J12" s="16"/>
      <c r="K12" s="5"/>
      <c r="L12" s="5"/>
      <c r="M12" s="5"/>
    </row>
    <row r="13" spans="1:13" ht="25.5" customHeight="1" x14ac:dyDescent="0.25">
      <c r="A13" s="5"/>
      <c r="B13" s="5"/>
      <c r="C13" s="5"/>
      <c r="D13" s="2" t="s">
        <v>1</v>
      </c>
      <c r="E13" s="2" t="s">
        <v>2</v>
      </c>
      <c r="F13" s="5"/>
      <c r="G13" s="5"/>
      <c r="H13" s="11" t="s">
        <v>5</v>
      </c>
      <c r="I13" s="12">
        <f>+D14/(D14+E14)</f>
        <v>0.20045798837414128</v>
      </c>
      <c r="J13" s="16" t="s">
        <v>27</v>
      </c>
      <c r="K13" s="5"/>
      <c r="L13" s="5"/>
      <c r="M13" s="5"/>
    </row>
    <row r="14" spans="1:13" ht="25.5" customHeight="1" x14ac:dyDescent="0.25">
      <c r="A14" s="5"/>
      <c r="B14" s="25" t="s">
        <v>0</v>
      </c>
      <c r="C14" s="1" t="s">
        <v>1</v>
      </c>
      <c r="D14" s="3">
        <v>1138</v>
      </c>
      <c r="E14" s="4">
        <v>4539</v>
      </c>
      <c r="F14" s="5"/>
      <c r="G14" s="5"/>
      <c r="H14" s="11" t="s">
        <v>7</v>
      </c>
      <c r="I14" s="12">
        <f>+D14/(D14+D15)</f>
        <v>0.74330502939255394</v>
      </c>
      <c r="J14" s="16"/>
      <c r="K14" s="5"/>
      <c r="L14" s="5"/>
      <c r="M14" s="5"/>
    </row>
    <row r="15" spans="1:13" ht="25.5" customHeight="1" x14ac:dyDescent="0.25">
      <c r="A15" s="5"/>
      <c r="B15" s="25"/>
      <c r="C15" s="1" t="s">
        <v>2</v>
      </c>
      <c r="D15" s="4">
        <v>393</v>
      </c>
      <c r="E15" s="3">
        <v>12696</v>
      </c>
      <c r="F15" s="5"/>
      <c r="G15" s="5"/>
      <c r="H15" s="11" t="s">
        <v>8</v>
      </c>
      <c r="I15" s="12">
        <f>+E15/(E15+E14)</f>
        <v>0.73664055700609221</v>
      </c>
      <c r="J15" s="16"/>
      <c r="K15" s="5"/>
      <c r="L15" s="5"/>
      <c r="M15" s="5"/>
    </row>
    <row r="16" spans="1:13" ht="25.5" customHeight="1" x14ac:dyDescent="0.25">
      <c r="A16" s="5"/>
      <c r="B16" s="5"/>
      <c r="C16" s="5"/>
      <c r="D16" s="5"/>
      <c r="E16" s="5"/>
      <c r="F16" s="5"/>
      <c r="G16" s="5"/>
      <c r="H16" s="11" t="s">
        <v>13</v>
      </c>
      <c r="I16" s="12">
        <f>+(E14)/(SUM(E14:E15))</f>
        <v>0.26335944299390773</v>
      </c>
      <c r="J16" s="12">
        <f>1-I15</f>
        <v>0.26335944299390779</v>
      </c>
      <c r="K16" s="5"/>
      <c r="L16" s="5"/>
      <c r="M16" s="5"/>
    </row>
    <row r="17" spans="1:10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</row>
    <row r="19" spans="1:10" x14ac:dyDescent="0.25">
      <c r="H19" s="28" t="s">
        <v>28</v>
      </c>
    </row>
    <row r="20" spans="1:10" x14ac:dyDescent="0.25">
      <c r="H20" s="28" t="s">
        <v>29</v>
      </c>
    </row>
    <row r="21" spans="1:10" x14ac:dyDescent="0.25">
      <c r="H21" s="28" t="s">
        <v>30</v>
      </c>
      <c r="I21">
        <v>1000</v>
      </c>
    </row>
    <row r="22" spans="1:10" x14ac:dyDescent="0.25">
      <c r="H22" s="28" t="s">
        <v>31</v>
      </c>
      <c r="I22">
        <v>1000</v>
      </c>
    </row>
  </sheetData>
  <mergeCells count="5">
    <mergeCell ref="I4:M4"/>
    <mergeCell ref="B14:B15"/>
    <mergeCell ref="B7:B8"/>
    <mergeCell ref="D4:E5"/>
    <mergeCell ref="D11:E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matriz_conf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JULIAN ANDRES GALINDO LOSADA</cp:lastModifiedBy>
  <dcterms:created xsi:type="dcterms:W3CDTF">2021-08-06T15:27:04Z</dcterms:created>
  <dcterms:modified xsi:type="dcterms:W3CDTF">2022-05-04T14:54:57Z</dcterms:modified>
</cp:coreProperties>
</file>